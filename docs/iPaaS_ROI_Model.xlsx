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Inputs &amp; Assumptions" sheetId="1" state="visible" r:id="rId3"/>
    <sheet name="ROI Calculation" sheetId="2" state="visible" r:id="rId4"/>
    <sheet name="Summary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<sst xmlns="http://schemas.openxmlformats.org/spreadsheetml/2006/main" count="66" uniqueCount="63">
  <si>
    <t xml:space="preserve">iPaaS Build vs. Buy — ROI Model: Inputs &amp; Assumptions</t>
  </si>
  <si>
    <t xml:space="preserve">Yellow cells are placeholders — replace with your actual figures. Blue text = input cell, black = formula (do not edit).</t>
  </si>
  <si>
    <t xml:space="preserve">Engineering Cost Basis</t>
  </si>
  <si>
    <t xml:space="preserve">Blended loaded engineer rate ($/hour)</t>
  </si>
  <si>
    <t xml:space="preserve">PLACEHOLDER — replace with your actual fully-loaded hourly cost (salary + benefits + overhead ÷ annual hours)</t>
  </si>
  <si>
    <t xml:space="preserve">Hours per engineer-week</t>
  </si>
  <si>
    <t xml:space="preserve">Standard full-time week — adjust if your team runs differently</t>
  </si>
  <si>
    <t xml:space="preserve">Custom Build Effort Estimate</t>
  </si>
  <si>
    <t xml:space="preserve">Engineer-weeks already spent (POC Days 1–5)</t>
  </si>
  <si>
    <t xml:space="preserve">PLACEHOLDER — replace with actual logged hours ÷ 40</t>
  </si>
  <si>
    <t xml:space="preserve">Engineer-weeks remaining to MVP (target Sep 1, 2026)</t>
  </si>
  <si>
    <t xml:space="preserve">PLACEHOLDER — replace with your team's current estimate to complete</t>
  </si>
  <si>
    <t xml:space="preserve">Engineer-weeks per future provider adapter</t>
  </si>
  <si>
    <t xml:space="preserve">PLACEHOLDER — ideally anchored to actual hours logged building the Keka adapter</t>
  </si>
  <si>
    <t xml:space="preserve">Projected new provider integrations over horizon</t>
  </si>
  <si>
    <t xml:space="preserve">PLACEHOLDER — how many new source/target providers you expect to add</t>
  </si>
  <si>
    <t xml:space="preserve">Time horizon (years)</t>
  </si>
  <si>
    <t xml:space="preserve">PLACEHOLDER — how far out this model should project</t>
  </si>
  <si>
    <t xml:space="preserve">Third-Party Tool Pricing</t>
  </si>
  <si>
    <t xml:space="preserve">Temporal Cloud monthly floor ($)</t>
  </si>
  <si>
    <t xml:space="preserve">Source: Temporal Cloud pricing, Essentials plan floor (confirmed, from leadership brief research)</t>
  </si>
  <si>
    <t xml:space="preserve">Airbyte self-hosted infra, monthly ($, low)</t>
  </si>
  <si>
    <t xml:space="preserve">Source: Airbyte self-hosted infra cost range (Integrate.io/Hevo pricing analysis, 2026)</t>
  </si>
  <si>
    <t xml:space="preserve">Airbyte self-hosted infra, monthly ($, high)</t>
  </si>
  <si>
    <t xml:space="preserve">Source: same</t>
  </si>
  <si>
    <t xml:space="preserve">Airbyte ops burden (fraction of 1 FTE)</t>
  </si>
  <si>
    <t xml:space="preserve">Source: same — 'at least 0.1 FTE needed to maintain a production deployment'</t>
  </si>
  <si>
    <t xml:space="preserve">Nango paid tier (Cloud/Enterprise), annual</t>
  </si>
  <si>
    <t xml:space="preserve">Request quote</t>
  </si>
  <si>
    <t xml:space="preserve">Not publicly listed — sales-quoted. Excluded from the Nango total below until you have an actual number; do not present that total as complete.</t>
  </si>
  <si>
    <t xml:space="preserve">Workato annual cost ($, typical)</t>
  </si>
  <si>
    <t xml:space="preserve">Source: typical deal range $15k–25k/yr+ before scaling; midpoint used</t>
  </si>
  <si>
    <t xml:space="preserve">Boomi annual cost ($, estimate)</t>
  </si>
  <si>
    <t xml:space="preserve">Not publicly listed; research indicates comparable to or above Workato — PLACEHOLDER, request an actual quote</t>
  </si>
  <si>
    <t xml:space="preserve">Celigo monthly cost ($, typical)</t>
  </si>
  <si>
    <t xml:space="preserve">Source: $600–6,000/month range; midpoint used</t>
  </si>
  <si>
    <t xml:space="preserve">Total Cost of Ownership Over Horizon — Custom vs. Every Tool Considered</t>
  </si>
  <si>
    <t xml:space="preserve">Engineering cost is held equal across every option — every path still requires the same ConnectWise/Keka adapter work; only the tool/subscription layer differs. See Comments for what each row assumes.</t>
  </si>
  <si>
    <t xml:space="preserve">Option</t>
  </si>
  <si>
    <t xml:space="preserve">Engineering Cost ($)</t>
  </si>
  <si>
    <t xml:space="preserve">Tool / Subscription Cost ($)</t>
  </si>
  <si>
    <t xml:space="preserve">Total Cost ($)</t>
  </si>
  <si>
    <t xml:space="preserve">Extra Cost vs. Custom ($)</t>
  </si>
  <si>
    <t xml:space="preserve">Note</t>
  </si>
  <si>
    <t xml:space="preserve">Custom Build</t>
  </si>
  <si>
    <t xml:space="preserve">0</t>
  </si>
  <si>
    <t xml:space="preserve">Baseline — no third-party subscription or ops layer</t>
  </si>
  <si>
    <t xml:space="preserve">Nango</t>
  </si>
  <si>
    <t xml:space="preserve">Free-tier engineering cost shown; Cloud/Enterprise tier is unpriced (see Inputs row 20) — actual total will be higher once quoted</t>
  </si>
  <si>
    <t xml:space="preserve">Temporal (Cloud)</t>
  </si>
  <si>
    <t xml:space="preserve">Temporal Cloud monthly floor × 12 × horizon years</t>
  </si>
  <si>
    <t xml:space="preserve">Airbyte (self-hosted)</t>
  </si>
  <si>
    <t xml:space="preserve">Midpoint infra cost + ops-FTE-fraction × engineer hours over horizon × blended rate</t>
  </si>
  <si>
    <t xml:space="preserve">Workato</t>
  </si>
  <si>
    <t xml:space="preserve">Annual cost × horizon years</t>
  </si>
  <si>
    <t xml:space="preserve">Boomi</t>
  </si>
  <si>
    <t xml:space="preserve">Annual cost (estimate) × horizon years</t>
  </si>
  <si>
    <t xml:space="preserve">Celigo</t>
  </si>
  <si>
    <t xml:space="preserve">Monthly cost × 12 × horizon years</t>
  </si>
  <si>
    <t xml:space="preserve">Nango's total is understated until the Cloud/Enterprise quote (Inputs row 20) is added — treat it as a floor, not a final number. Boomi's annual cost is an estimate, not a published price — request an actual quote before presenting.</t>
  </si>
  <si>
    <t xml:space="preserve">ROI Summary</t>
  </si>
  <si>
    <t xml:space="preserve">Pulls directly from the ROI Calculation sheet — update the Inputs sheet, this refreshes automatically.</t>
  </si>
  <si>
    <t xml:space="preserve">Savings vs. Custom ($)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</si>
</sst>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#,##0"/>
    <numFmt numFmtId="166" formatCode="\$#,##0"/>
    <numFmt numFmtId="167" formatCode="0.0%"/>
    <numFmt numFmtId="168" formatCode="\$#,##0;&quot;($&quot;#,##0\);\-"/>
  </numFmts>
  <fonts count="1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5"/>
      <color rgb="FF1E2761"/>
      <name val="Arial"/>
      <family val="0"/>
      <charset val="1"/>
    </font>
    <font>
      <i val="true"/>
      <sz val="10"/>
      <color rgb="FF5C6B8A"/>
      <name val="Arial"/>
      <family val="0"/>
      <charset val="1"/>
    </font>
    <font>
      <b val="true"/>
      <sz val="11.5"/>
      <color rgb="FF1E2761"/>
      <name val="Arial"/>
      <family val="0"/>
      <charset val="1"/>
    </font>
    <font>
      <sz val="10.5"/>
      <name val="Arial"/>
      <family val="0"/>
      <charset val="1"/>
    </font>
    <font>
      <sz val="11"/>
      <color rgb="FF0000FF"/>
      <name val="Cambria"/>
      <family val="0"/>
      <charset val="1"/>
    </font>
    <font>
      <i val="true"/>
      <sz val="9"/>
      <color rgb="FF808080"/>
      <name val="Arial"/>
      <family val="0"/>
      <charset val="1"/>
    </font>
    <font>
      <i val="true"/>
      <sz val="11"/>
      <color rgb="FFFF0000"/>
      <name val="Cambria"/>
      <family val="0"/>
      <charset val="1"/>
    </font>
    <font>
      <b val="true"/>
      <sz val="12"/>
      <color rgb="FFFFFFFF"/>
      <name val="Arial"/>
      <family val="0"/>
      <charset val="1"/>
    </font>
    <font>
      <b val="true"/>
      <sz val="10.5"/>
      <name val="Arial"/>
      <family val="0"/>
      <charset val="1"/>
    </font>
    <font>
      <sz val="11"/>
      <color rgb="FF008000"/>
      <name val="Cambria"/>
      <family val="0"/>
      <charset val="1"/>
    </font>
    <font>
      <sz val="11"/>
      <color rgb="FF000000"/>
      <name val="Cambria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b val="true"/>
      <sz val="10"/>
      <color rgb="FF00000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1E2761"/>
        <bgColor rgb="FF333333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C9D3E8"/>
      </left>
      <right style="thin">
        <color rgb="FFC9D3E8"/>
      </right>
      <top style="thin">
        <color rgb="FFC9D3E8"/>
      </top>
      <bottom style="thin">
        <color rgb="FFC9D3E8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5" fontId="8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5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center" textRotation="0" wrapText="true" indent="0" shrinkToFit="false"/>
      <protection locked="true" hidden="false"/>
    </xf>
    <xf numFmtId="166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8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6" fontId="13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14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12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14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0" borderId="0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1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3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8" fontId="13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D9D9D9"/>
      <rgbColor rgb="FF808080"/>
      <rgbColor rgb="FF9999FF"/>
      <rgbColor rgb="FF993366"/>
      <rgbColor rgb="FFF9F9F9"/>
      <rgbColor rgb="FFCCFFFF"/>
      <rgbColor rgb="FF660066"/>
      <rgbColor rgb="FFFF8080"/>
      <rgbColor rgb="FF0066CC"/>
      <rgbColor rgb="FFC9D3E8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4F81BD"/>
      <rgbColor rgb="FF33CCCC"/>
      <rgbColor rgb="FF99CC00"/>
      <rgbColor rgb="FFFFCC00"/>
      <rgbColor rgb="FFFF9900"/>
      <rgbColor rgb="FFFF6600"/>
      <rgbColor rgb="FF5C6B8A"/>
      <rgbColor rgb="FF878787"/>
      <rgbColor rgb="FF1E2761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charts/_rels/chart1.xml.rels><?xml version="1.0" encoding="UTF-8"?>
<Relationships xmlns="http://schemas.openxmlformats.org/package/2006/relationships"><Relationship Id="rId1" Type="http://schemas.microsoft.com/office/2011/relationships/chartStyle" Target="style1.xml"/><Relationship Id="rId2" Type="http://schemas.microsoft.com/office/2011/relationships/chartColorStyle" Target="colors1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style val="10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sz="1800" b="1" u="none" strike="noStrike">
                <a:solidFill>
                  <a:srgbClr val="000000"/>
                </a:solidFill>
                <a:uFillTx/>
                <a:latin typeface="Calibri"/>
              </a:rPr>
              <a:t>Total Cost Over Horizon by Option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Summary!B4</c:f>
              <c:strCache>
                <c:ptCount val="1"/>
                <c:pt idx="0">
                  <c:v>Total Cost ($)</c:v>
                </c:pt>
              </c:strCache>
            </c:strRef>
          </c:tx>
          <c:spPr>
            <a:solidFill>
              <a:srgbClr val="4F81BD"/>
            </a:solidFill>
            <a:ln w="12600">
              <a:solidFill>
                <a:srgbClr val="F9F9F9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0">
                  <a:solidFill>
                    <a:srgbClr val="F9F9F9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Summary!$A$5:$A$11</c:f>
              <c:strCache>
                <c:ptCount val="7"/>
                <c:pt idx="0">
                  <c:v>Custom Build</c:v>
                </c:pt>
                <c:pt idx="1">
                  <c:v>Nango</c:v>
                </c:pt>
                <c:pt idx="2">
                  <c:v>Temporal (Cloud)</c:v>
                </c:pt>
                <c:pt idx="3">
                  <c:v>Airbyte (self-hosted)</c:v>
                </c:pt>
                <c:pt idx="4">
                  <c:v>Workato</c:v>
                </c:pt>
                <c:pt idx="5">
                  <c:v>Boomi</c:v>
                </c:pt>
                <c:pt idx="6">
                  <c:v>Celigo</c:v>
                </c:pt>
              </c:strCache>
            </c:strRef>
          </c:cat>
          <c:val>
            <c:numRef>
              <c:f>Summary!$B$5:$B$11</c:f>
              <c:numCache>
                <c:formatCode>\$#,##0</c:formatCode>
                <c:ptCount val="7"/>
                <c:pt idx="0">
                  <c:v>60000</c:v>
                </c:pt>
                <c:pt idx="1">
                  <c:v>60000</c:v>
                </c:pt>
                <c:pt idx="2">
                  <c:v>62400</c:v>
                </c:pt>
                <c:pt idx="3">
                  <c:v>133200</c:v>
                </c:pt>
                <c:pt idx="4">
                  <c:v>100000</c:v>
                </c:pt>
                <c:pt idx="5">
                  <c:v>100000</c:v>
                </c:pt>
                <c:pt idx="6">
                  <c:v>132000</c:v>
                </c:pt>
              </c:numCache>
            </c:numRef>
          </c:val>
        </c:ser>
        <c:gapWidth val="150"/>
        <c:overlap val="0"/>
        <c:axId val="71739342"/>
        <c:axId val="30700261"/>
      </c:barChart>
      <c:catAx>
        <c:axId val="71739342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sz="1000" b="1" u="none" strike="noStrike">
                    <a:solidFill>
                      <a:srgbClr val="000000"/>
                    </a:solidFill>
                    <a:uFillTx/>
                    <a:latin typeface="Calibri"/>
                  </a:rPr>
                  <a:t>Option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30700261"/>
        <c:crosses val="autoZero"/>
        <c:auto val="1"/>
        <c:lblAlgn val="ctr"/>
        <c:lblOffset val="100"/>
        <c:noMultiLvlLbl val="0"/>
      </c:catAx>
      <c:valAx>
        <c:axId val="30700261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sz="1000" b="1" u="none" strike="noStrike">
                    <a:solidFill>
                      <a:srgbClr val="000000"/>
                    </a:solidFill>
                    <a:uFillTx/>
                    <a:latin typeface="Calibri"/>
                  </a:rPr>
                  <a:t>Total cost ($)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\$#,##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71739342"/>
        <c:crosses val="autoZero"/>
        <c:crossBetween val="between"/>
      </c:valAx>
      <c:spPr>
        <a:solidFill>
          <a:srgbClr val="FFFFFF"/>
        </a:solidFill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u="none" strike="noStrike">
              <a:solidFill>
                <a:srgbClr val="000000"/>
              </a:solidFill>
              <a:uFillTx/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</cs:colorStyle>
</file>

<file path=xl/charts/style1.xml><?xml version="1.0" encoding="utf-8"?>
<cs:chartStyle xmlns:cs="http://schemas.microsoft.com/office/drawing/2012/chartStyle" xmlns:a="http://schemas.openxmlformats.org/drawingml/2006/main" id="419">
  <cs:axisTitle>
    <cs:lnRef idx="0"/>
    <cs:fillRef idx="0"/>
    <cs:effectRef idx="0"/>
    <cs:fontRef idx="minor"/>
  </cs:axisTitle>
  <cs:categoryAxis>
    <cs:lnRef idx="0"/>
    <cs:fillRef idx="0"/>
    <cs:effectRef idx="0"/>
    <cs:fontRef idx="minor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chartArea>
  <cs:dataLabel>
    <cs:lnRef idx="0"/>
    <cs:fillRef idx="0"/>
    <cs:effectRef idx="0"/>
    <cs:fontRef idx="minor"/>
  </cs:dataLabel>
  <cs:dataPoint>
    <cs:lnRef idx="0"/>
    <cs:fillRef idx="0">
      <cs:styleClr val="auto"/>
    </cs:fillRef>
    <cs:effectRef idx="0"/>
    <cs:fontRef idx="minor">
      <cs:schemeClr val="tx1"/>
    </cs:fontRef>
    <cs:spPr>
      <a:solidFill>
        <a:schemeClr val="phClr"/>
      </a:solidFill>
    </cs:spPr>
  </cs:dataPoint>
  <cs:dataPoint3D>
    <cs:lnRef idx="0"/>
    <cs:fillRef idx="0"/>
    <cs:effectRef idx="0"/>
    <cs:fontRef idx="minor"/>
  </cs:dataPoint3D>
  <cs:dataPointLine>
    <cs:lnRef idx="0"/>
    <cs:fillRef idx="0"/>
    <cs:effectRef idx="0"/>
    <cs:fontRef idx="minor"/>
  </cs:dataPointLine>
  <cs:dataPointMarker>
    <cs:lnRef idx="0"/>
    <cs:fillRef idx="0"/>
    <cs:effectRef idx="0"/>
    <cs:fontRef idx="minor"/>
  </cs:dataPointMarker>
  <cs:dataPointMarkerLayout>
    <cs:lnRef idx="0"/>
    <cs:fillRef idx="0"/>
    <cs:effectRef idx="0"/>
    <cs:fontRef idx="minor"/>
  </cs:dataPointMarkerLayout>
  <cs:dataPointWireframe>
    <cs:lnRef idx="0"/>
    <cs:fillRef idx="0"/>
    <cs:effectRef idx="0"/>
    <cs:fontRef idx="minor"/>
  </cs:dataPointWireframe>
  <cs:dataTable>
    <cs:lnRef idx="0"/>
    <cs:fillRef idx="0"/>
    <cs:effectRef idx="0"/>
    <cs:fontRef idx="minor"/>
  </cs:dataTable>
  <cs:downBar>
    <cs:lnRef idx="0"/>
    <cs:fillRef idx="0"/>
    <cs:effectRef idx="0"/>
    <cs:fontRef idx="minor"/>
  </cs:downBar>
  <cs:dropLine>
    <cs:lnRef idx="0"/>
    <cs:fillRef idx="0"/>
    <cs:effectRef idx="0"/>
    <cs:fontRef idx="minor"/>
  </cs:dropLine>
  <cs:errorBar>
    <cs:lnRef idx="0"/>
    <cs:fillRef idx="0"/>
    <cs:effectRef idx="0"/>
    <cs:fontRef idx="minor"/>
  </cs:errorBar>
  <cs:floor>
    <cs:lnRef idx="0"/>
    <cs:fillRef idx="0"/>
    <cs:effectRef idx="0"/>
    <cs:fontRef idx="minor"/>
  </cs:floor>
  <cs:gridlineMajor>
    <cs:lnRef idx="0"/>
    <cs:fillRef idx="0"/>
    <cs:effectRef idx="0"/>
    <cs:fontRef idx="minor"/>
  </cs:gridlineMajor>
  <cs:gridlineMinor>
    <cs:lnRef idx="0"/>
    <cs:fillRef idx="0"/>
    <cs:effectRef idx="0"/>
    <cs:fontRef idx="minor"/>
  </cs:gridlineMinor>
  <cs:hiLoLine>
    <cs:lnRef idx="0"/>
    <cs:fillRef idx="0"/>
    <cs:effectRef idx="0"/>
    <cs:fontRef idx="minor"/>
  </cs:hiLoLine>
  <cs:leaderLine>
    <cs:lnRef idx="0"/>
    <cs:fillRef idx="0"/>
    <cs:effectRef idx="0"/>
    <cs:fontRef idx="minor"/>
  </cs:leaderLine>
  <cs:legend>
    <cs:lnRef idx="0"/>
    <cs:fillRef idx="0"/>
    <cs:effectRef idx="0"/>
    <cs:fontRef idx="minor"/>
  </cs:legend>
  <cs:plotArea>
    <cs:lnRef idx="0"/>
    <cs:fillRef idx="0"/>
    <cs:effectRef idx="0"/>
    <cs:fontRef idx="minor"/>
  </cs:plotArea>
  <cs:plotArea3D>
    <cs:lnRef idx="0"/>
    <cs:fillRef idx="0"/>
    <cs:effectRef idx="0"/>
    <cs:fontRef idx="minor"/>
  </cs:plotArea3D>
  <cs:seriesAxis>
    <cs:lnRef idx="0"/>
    <cs:fillRef idx="0"/>
    <cs:effectRef idx="0"/>
    <cs:fontRef idx="minor"/>
  </cs:seriesAxis>
  <cs:seriesLine>
    <cs:lnRef idx="0"/>
    <cs:fillRef idx="0"/>
    <cs:effectRef idx="0"/>
    <cs:fontRef idx="minor"/>
  </cs:seriesLine>
  <cs:title>
    <cs:lnRef idx="0"/>
    <cs:fillRef idx="0"/>
    <cs:effectRef idx="0"/>
    <cs:fontRef idx="minor"/>
  </cs:title>
  <cs:trendline>
    <cs:lnRef idx="0"/>
    <cs:fillRef idx="0"/>
    <cs:effectRef idx="0"/>
    <cs:fontRef idx="minor"/>
  </cs:trendline>
  <cs:trendlineLabel>
    <cs:lnRef idx="0"/>
    <cs:fillRef idx="0"/>
    <cs:effectRef idx="0"/>
    <cs:fontRef idx="minor"/>
  </cs:trendlineLabel>
  <cs:upBar>
    <cs:lnRef idx="0"/>
    <cs:fillRef idx="0"/>
    <cs:effectRef idx="0"/>
    <cs:fontRef idx="minor"/>
  </cs:upBar>
  <cs:valueAxis>
    <cs:lnRef idx="0"/>
    <cs:fillRef idx="0"/>
    <cs:effectRef idx="0"/>
    <cs:fontRef idx="minor"/>
  </cs:valueAxis>
  <cs:wall>
    <cs:lnRef idx="0"/>
    <cs:fillRef idx="0"/>
    <cs:effectRef idx="0"/>
    <cs:fontRef idx="minor"/>
  </cs:wall>
</cs:chartStyl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4</xdr:col>
      <xdr:colOff>0</xdr:colOff>
      <xdr:row>3</xdr:row>
      <xdr:rowOff>0</xdr:rowOff>
    </xdr:from>
    <xdr:to>
      <xdr:col>15</xdr:col>
      <xdr:colOff>473040</xdr:colOff>
      <xdr:row>20</xdr:row>
      <xdr:rowOff>1080</xdr:rowOff>
    </xdr:to>
    <xdr:graphicFrame>
      <xdr:nvGraphicFramePr>
        <xdr:cNvPr id="1" name="Chart 1"/>
        <xdr:cNvGraphicFramePr/>
      </xdr:nvGraphicFramePr>
      <xdr:xfrm>
        <a:off x="4651920" y="616680"/>
        <a:ext cx="7199640" cy="323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23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48"/>
    <col collapsed="false" customWidth="true" hidden="false" outlineLevel="0" max="2" min="2" style="0" width="16"/>
    <col collapsed="false" customWidth="true" hidden="false" outlineLevel="0" max="3" min="3" style="0" width="62"/>
  </cols>
  <sheetData>
    <row r="1" customFormat="false" ht="18.55" hidden="false" customHeight="false" outlineLevel="0" collapsed="false">
      <c r="A1" s="1" t="s">
        <v>0</v>
      </c>
      <c r="B1" s="1"/>
      <c r="C1" s="1"/>
    </row>
    <row r="2" customFormat="false" ht="15" hidden="false" customHeight="false" outlineLevel="0" collapsed="false">
      <c r="A2" s="2" t="s">
        <v>1</v>
      </c>
      <c r="B2" s="2"/>
      <c r="C2" s="2"/>
    </row>
    <row r="4" customFormat="false" ht="15" hidden="false" customHeight="true" outlineLevel="0" collapsed="false">
      <c r="A4" s="3" t="s">
        <v>2</v>
      </c>
      <c r="B4" s="3"/>
      <c r="C4" s="3"/>
    </row>
    <row r="5" customFormat="false" ht="22.35" hidden="false" customHeight="false" outlineLevel="0" collapsed="false">
      <c r="A5" s="4" t="s">
        <v>3</v>
      </c>
      <c r="B5" s="5" t="n">
        <v>75</v>
      </c>
      <c r="C5" s="6" t="s">
        <v>4</v>
      </c>
    </row>
    <row r="6" customFormat="false" ht="15" hidden="false" customHeight="false" outlineLevel="0" collapsed="false">
      <c r="A6" s="4" t="s">
        <v>5</v>
      </c>
      <c r="B6" s="7" t="n">
        <v>40</v>
      </c>
      <c r="C6" s="6" t="s">
        <v>6</v>
      </c>
    </row>
    <row r="7" customFormat="false" ht="15" hidden="false" customHeight="false" outlineLevel="0" collapsed="false">
      <c r="A7" s="8"/>
    </row>
    <row r="8" customFormat="false" ht="15" hidden="false" customHeight="true" outlineLevel="0" collapsed="false">
      <c r="A8" s="3" t="s">
        <v>7</v>
      </c>
      <c r="B8" s="3"/>
      <c r="C8" s="3"/>
    </row>
    <row r="9" customFormat="false" ht="15" hidden="false" customHeight="false" outlineLevel="0" collapsed="false">
      <c r="A9" s="4" t="s">
        <v>8</v>
      </c>
      <c r="B9" s="5" t="n">
        <v>6</v>
      </c>
      <c r="C9" s="6" t="s">
        <v>9</v>
      </c>
    </row>
    <row r="10" customFormat="false" ht="25.35" hidden="false" customHeight="false" outlineLevel="0" collapsed="false">
      <c r="A10" s="4" t="s">
        <v>10</v>
      </c>
      <c r="B10" s="5" t="n">
        <v>4</v>
      </c>
      <c r="C10" s="6" t="s">
        <v>11</v>
      </c>
    </row>
    <row r="11" customFormat="false" ht="22.35" hidden="false" customHeight="false" outlineLevel="0" collapsed="false">
      <c r="A11" s="4" t="s">
        <v>12</v>
      </c>
      <c r="B11" s="5" t="n">
        <v>2</v>
      </c>
      <c r="C11" s="6" t="s">
        <v>13</v>
      </c>
    </row>
    <row r="12" customFormat="false" ht="15" hidden="false" customHeight="false" outlineLevel="0" collapsed="false">
      <c r="A12" s="4" t="s">
        <v>14</v>
      </c>
      <c r="B12" s="5" t="n">
        <v>5</v>
      </c>
      <c r="C12" s="6" t="s">
        <v>15</v>
      </c>
    </row>
    <row r="13" customFormat="false" ht="15" hidden="false" customHeight="false" outlineLevel="0" collapsed="false">
      <c r="A13" s="4" t="s">
        <v>16</v>
      </c>
      <c r="B13" s="5" t="n">
        <v>2</v>
      </c>
      <c r="C13" s="6" t="s">
        <v>17</v>
      </c>
    </row>
    <row r="14" customFormat="false" ht="15" hidden="false" customHeight="false" outlineLevel="0" collapsed="false">
      <c r="A14" s="8"/>
    </row>
    <row r="15" customFormat="false" ht="15" hidden="false" customHeight="true" outlineLevel="0" collapsed="false">
      <c r="A15" s="3" t="s">
        <v>18</v>
      </c>
      <c r="B15" s="3"/>
      <c r="C15" s="3"/>
    </row>
    <row r="16" customFormat="false" ht="22.35" hidden="false" customHeight="false" outlineLevel="0" collapsed="false">
      <c r="A16" s="4" t="s">
        <v>19</v>
      </c>
      <c r="B16" s="9" t="n">
        <v>100</v>
      </c>
      <c r="C16" s="6" t="s">
        <v>20</v>
      </c>
    </row>
    <row r="17" customFormat="false" ht="22.35" hidden="false" customHeight="false" outlineLevel="0" collapsed="false">
      <c r="A17" s="4" t="s">
        <v>21</v>
      </c>
      <c r="B17" s="9" t="n">
        <v>500</v>
      </c>
      <c r="C17" s="6" t="s">
        <v>22</v>
      </c>
    </row>
    <row r="18" customFormat="false" ht="15" hidden="false" customHeight="false" outlineLevel="0" collapsed="false">
      <c r="A18" s="4" t="s">
        <v>23</v>
      </c>
      <c r="B18" s="9" t="n">
        <v>3000</v>
      </c>
      <c r="C18" s="6" t="s">
        <v>24</v>
      </c>
    </row>
    <row r="19" customFormat="false" ht="15" hidden="false" customHeight="false" outlineLevel="0" collapsed="false">
      <c r="A19" s="4" t="s">
        <v>25</v>
      </c>
      <c r="B19" s="10" t="n">
        <v>0.1</v>
      </c>
      <c r="C19" s="6" t="s">
        <v>26</v>
      </c>
    </row>
    <row r="20" customFormat="false" ht="22.35" hidden="false" customHeight="false" outlineLevel="0" collapsed="false">
      <c r="A20" s="4" t="s">
        <v>27</v>
      </c>
      <c r="B20" s="11" t="s">
        <v>28</v>
      </c>
      <c r="C20" s="6" t="s">
        <v>29</v>
      </c>
    </row>
    <row r="21" customFormat="false" ht="15" hidden="false" customHeight="false" outlineLevel="0" collapsed="false">
      <c r="A21" s="4" t="s">
        <v>30</v>
      </c>
      <c r="B21" s="12" t="n">
        <v>20000</v>
      </c>
      <c r="C21" s="6" t="s">
        <v>31</v>
      </c>
    </row>
    <row r="22" customFormat="false" ht="22.35" hidden="false" customHeight="false" outlineLevel="0" collapsed="false">
      <c r="A22" s="4" t="s">
        <v>32</v>
      </c>
      <c r="B22" s="12" t="n">
        <v>20000</v>
      </c>
      <c r="C22" s="6" t="s">
        <v>33</v>
      </c>
    </row>
    <row r="23" customFormat="false" ht="15" hidden="false" customHeight="false" outlineLevel="0" collapsed="false">
      <c r="A23" s="4" t="s">
        <v>34</v>
      </c>
      <c r="B23" s="12" t="n">
        <v>3000</v>
      </c>
      <c r="C23" s="6" t="s">
        <v>35</v>
      </c>
    </row>
  </sheetData>
  <mergeCells count="5">
    <mergeCell ref="A1:C1"/>
    <mergeCell ref="A2:C2"/>
    <mergeCell ref="A4:C4"/>
    <mergeCell ref="A8:C8"/>
    <mergeCell ref="A15:C15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20"/>
    <col collapsed="false" customWidth="true" hidden="false" outlineLevel="0" max="3" min="3" style="0" width="22"/>
    <col collapsed="false" customWidth="true" hidden="false" outlineLevel="0" max="5" min="4" style="0" width="18"/>
    <col collapsed="false" customWidth="true" hidden="false" outlineLevel="0" max="6" min="6" style="0" width="60"/>
  </cols>
  <sheetData>
    <row r="1" customFormat="false" ht="18.55" hidden="false" customHeight="false" outlineLevel="0" collapsed="false">
      <c r="A1" s="1" t="s">
        <v>36</v>
      </c>
      <c r="B1" s="1"/>
      <c r="C1" s="1"/>
      <c r="D1" s="1"/>
      <c r="E1" s="1"/>
      <c r="F1" s="1"/>
    </row>
    <row r="2" customFormat="false" ht="15" hidden="false" customHeight="false" outlineLevel="0" collapsed="false">
      <c r="A2" s="2" t="s">
        <v>37</v>
      </c>
      <c r="B2" s="2"/>
      <c r="C2" s="2"/>
      <c r="D2" s="2"/>
      <c r="E2" s="2"/>
      <c r="F2" s="2"/>
    </row>
    <row r="4" customFormat="false" ht="26.85" hidden="false" customHeight="false" outlineLevel="0" collapsed="false">
      <c r="A4" s="13" t="s">
        <v>38</v>
      </c>
      <c r="B4" s="13" t="s">
        <v>39</v>
      </c>
      <c r="C4" s="13" t="s">
        <v>40</v>
      </c>
      <c r="D4" s="13" t="s">
        <v>41</v>
      </c>
      <c r="E4" s="13" t="s">
        <v>42</v>
      </c>
      <c r="F4" s="13" t="s">
        <v>43</v>
      </c>
    </row>
    <row r="5" customFormat="false" ht="15" hidden="false" customHeight="false" outlineLevel="0" collapsed="false">
      <c r="A5" s="14" t="s">
        <v>44</v>
      </c>
      <c r="B5" s="15" t="n">
        <f aca="false">('Inputs &amp; Assumptions'!$B$9+'Inputs &amp; Assumptions'!$B$10+'Inputs &amp; Assumptions'!$B$11*'Inputs &amp; Assumptions'!$B$12)*'Inputs &amp; Assumptions'!$B$6*'Inputs &amp; Assumptions'!$B$5</f>
        <v>60000</v>
      </c>
      <c r="C5" s="16" t="s">
        <v>45</v>
      </c>
      <c r="D5" s="17" t="n">
        <f aca="false">B5+C5</f>
        <v>60000</v>
      </c>
      <c r="E5" s="18" t="n">
        <f aca="false">D5-$D$5</f>
        <v>0</v>
      </c>
      <c r="F5" s="6" t="s">
        <v>46</v>
      </c>
    </row>
    <row r="6" customFormat="false" ht="22.35" hidden="false" customHeight="false" outlineLevel="0" collapsed="false">
      <c r="A6" s="14" t="s">
        <v>47</v>
      </c>
      <c r="B6" s="15" t="n">
        <f aca="false">('Inputs &amp; Assumptions'!$B$9+'Inputs &amp; Assumptions'!$B$10+'Inputs &amp; Assumptions'!$B$11*'Inputs &amp; Assumptions'!$B$12)*'Inputs &amp; Assumptions'!$B$6*'Inputs &amp; Assumptions'!$B$5</f>
        <v>60000</v>
      </c>
      <c r="C6" s="16" t="s">
        <v>45</v>
      </c>
      <c r="D6" s="17" t="n">
        <f aca="false">B6+C6</f>
        <v>60000</v>
      </c>
      <c r="E6" s="18" t="n">
        <f aca="false">D6-$D$5</f>
        <v>0</v>
      </c>
      <c r="F6" s="6" t="s">
        <v>48</v>
      </c>
    </row>
    <row r="7" customFormat="false" ht="15" hidden="false" customHeight="false" outlineLevel="0" collapsed="false">
      <c r="A7" s="14" t="s">
        <v>49</v>
      </c>
      <c r="B7" s="15" t="n">
        <f aca="false">('Inputs &amp; Assumptions'!$B$9+'Inputs &amp; Assumptions'!$B$10+'Inputs &amp; Assumptions'!$B$11*'Inputs &amp; Assumptions'!$B$12)*'Inputs &amp; Assumptions'!$B$6*'Inputs &amp; Assumptions'!$B$5</f>
        <v>60000</v>
      </c>
      <c r="C7" s="15" t="n">
        <f aca="false">'Inputs &amp; Assumptions'!$B$16*12*'Inputs &amp; Assumptions'!$B$13</f>
        <v>2400</v>
      </c>
      <c r="D7" s="17" t="n">
        <f aca="false">B7+C7</f>
        <v>62400</v>
      </c>
      <c r="E7" s="18" t="n">
        <f aca="false">D7-$D$5</f>
        <v>2400</v>
      </c>
      <c r="F7" s="6" t="s">
        <v>50</v>
      </c>
    </row>
    <row r="8" customFormat="false" ht="22.35" hidden="false" customHeight="false" outlineLevel="0" collapsed="false">
      <c r="A8" s="14" t="s">
        <v>51</v>
      </c>
      <c r="B8" s="15" t="n">
        <f aca="false">('Inputs &amp; Assumptions'!$B$9+'Inputs &amp; Assumptions'!$B$10+'Inputs &amp; Assumptions'!$B$11*'Inputs &amp; Assumptions'!$B$12)*'Inputs &amp; Assumptions'!$B$6*'Inputs &amp; Assumptions'!$B$5</f>
        <v>60000</v>
      </c>
      <c r="C8" s="15" t="n">
        <f aca="false">(('Inputs &amp; Assumptions'!$B$17+'Inputs &amp; Assumptions'!$B$18)/2)*12*'Inputs &amp; Assumptions'!$B$13+'Inputs &amp; Assumptions'!$B$19*('Inputs &amp; Assumptions'!$B$6*52*'Inputs &amp; Assumptions'!$B$13)*'Inputs &amp; Assumptions'!$B$5</f>
        <v>73200</v>
      </c>
      <c r="D8" s="17" t="n">
        <f aca="false">B8+C8</f>
        <v>133200</v>
      </c>
      <c r="E8" s="18" t="n">
        <f aca="false">D8-$D$5</f>
        <v>73200</v>
      </c>
      <c r="F8" s="6" t="s">
        <v>52</v>
      </c>
    </row>
    <row r="9" customFormat="false" ht="15" hidden="false" customHeight="false" outlineLevel="0" collapsed="false">
      <c r="A9" s="14" t="s">
        <v>53</v>
      </c>
      <c r="B9" s="15" t="n">
        <f aca="false">('Inputs &amp; Assumptions'!$B$9+'Inputs &amp; Assumptions'!$B$10+'Inputs &amp; Assumptions'!$B$11*'Inputs &amp; Assumptions'!$B$12)*'Inputs &amp; Assumptions'!$B$6*'Inputs &amp; Assumptions'!$B$5</f>
        <v>60000</v>
      </c>
      <c r="C9" s="15" t="n">
        <f aca="false">'Inputs &amp; Assumptions'!$B$21*'Inputs &amp; Assumptions'!$B$13</f>
        <v>40000</v>
      </c>
      <c r="D9" s="17" t="n">
        <f aca="false">B9+C9</f>
        <v>100000</v>
      </c>
      <c r="E9" s="18" t="n">
        <f aca="false">D9-$D$5</f>
        <v>40000</v>
      </c>
      <c r="F9" s="6" t="s">
        <v>54</v>
      </c>
    </row>
    <row r="10" customFormat="false" ht="15" hidden="false" customHeight="false" outlineLevel="0" collapsed="false">
      <c r="A10" s="14" t="s">
        <v>55</v>
      </c>
      <c r="B10" s="15" t="n">
        <f aca="false">('Inputs &amp; Assumptions'!$B$9+'Inputs &amp; Assumptions'!$B$10+'Inputs &amp; Assumptions'!$B$11*'Inputs &amp; Assumptions'!$B$12)*'Inputs &amp; Assumptions'!$B$6*'Inputs &amp; Assumptions'!$B$5</f>
        <v>60000</v>
      </c>
      <c r="C10" s="15" t="n">
        <f aca="false">'Inputs &amp; Assumptions'!$B$22*'Inputs &amp; Assumptions'!$B$13</f>
        <v>40000</v>
      </c>
      <c r="D10" s="17" t="n">
        <f aca="false">B10+C10</f>
        <v>100000</v>
      </c>
      <c r="E10" s="18" t="n">
        <f aca="false">D10-$D$5</f>
        <v>40000</v>
      </c>
      <c r="F10" s="6" t="s">
        <v>56</v>
      </c>
    </row>
    <row r="11" customFormat="false" ht="15" hidden="false" customHeight="false" outlineLevel="0" collapsed="false">
      <c r="A11" s="14" t="s">
        <v>57</v>
      </c>
      <c r="B11" s="15" t="n">
        <f aca="false">('Inputs &amp; Assumptions'!$B$9+'Inputs &amp; Assumptions'!$B$10+'Inputs &amp; Assumptions'!$B$11*'Inputs &amp; Assumptions'!$B$12)*'Inputs &amp; Assumptions'!$B$6*'Inputs &amp; Assumptions'!$B$5</f>
        <v>60000</v>
      </c>
      <c r="C11" s="15" t="n">
        <f aca="false">'Inputs &amp; Assumptions'!$B$23*12*'Inputs &amp; Assumptions'!$B$13</f>
        <v>72000</v>
      </c>
      <c r="D11" s="17" t="n">
        <f aca="false">B11+C11</f>
        <v>132000</v>
      </c>
      <c r="E11" s="18" t="n">
        <f aca="false">D11-$D$5</f>
        <v>72000</v>
      </c>
      <c r="F11" s="6" t="s">
        <v>58</v>
      </c>
    </row>
    <row r="13" customFormat="false" ht="22.35" hidden="false" customHeight="true" outlineLevel="0" collapsed="false">
      <c r="A13" s="19" t="s">
        <v>59</v>
      </c>
      <c r="B13" s="19"/>
      <c r="C13" s="19"/>
      <c r="D13" s="19"/>
      <c r="E13" s="19"/>
      <c r="F13" s="19"/>
    </row>
  </sheetData>
  <mergeCells count="3">
    <mergeCell ref="A1:F1"/>
    <mergeCell ref="A2:F2"/>
    <mergeCell ref="A13:F1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6"/>
    <col collapsed="false" customWidth="true" hidden="false" outlineLevel="0" max="3" min="2" style="0" width="18"/>
    <col collapsed="false" customWidth="true" hidden="false" outlineLevel="0" max="4" min="4" style="0" width="4"/>
  </cols>
  <sheetData>
    <row r="1" customFormat="false" ht="18.55" hidden="false" customHeight="false" outlineLevel="0" collapsed="false">
      <c r="A1" s="1" t="s">
        <v>60</v>
      </c>
      <c r="B1" s="1"/>
      <c r="C1" s="1"/>
    </row>
    <row r="2" customFormat="false" ht="15" hidden="false" customHeight="false" outlineLevel="0" collapsed="false">
      <c r="A2" s="2" t="s">
        <v>61</v>
      </c>
      <c r="B2" s="2"/>
      <c r="C2" s="2"/>
    </row>
    <row r="4" customFormat="false" ht="15" hidden="false" customHeight="false" outlineLevel="0" collapsed="false">
      <c r="A4" s="20" t="s">
        <v>38</v>
      </c>
      <c r="B4" s="20" t="s">
        <v>41</v>
      </c>
      <c r="C4" s="20" t="s">
        <v>62</v>
      </c>
    </row>
    <row r="5" customFormat="false" ht="15" hidden="false" customHeight="false" outlineLevel="0" collapsed="false">
      <c r="A5" s="21" t="str">
        <f aca="false">'ROI Calculation'!A5</f>
        <v>Custom Build</v>
      </c>
      <c r="B5" s="15" t="n">
        <f aca="false">'ROI Calculation'!D5</f>
        <v>60000</v>
      </c>
      <c r="C5" s="22" t="n">
        <f aca="false">'ROI Calculation'!E5</f>
        <v>0</v>
      </c>
    </row>
    <row r="6" customFormat="false" ht="15" hidden="false" customHeight="false" outlineLevel="0" collapsed="false">
      <c r="A6" s="21" t="str">
        <f aca="false">'ROI Calculation'!A6</f>
        <v>Nango</v>
      </c>
      <c r="B6" s="15" t="n">
        <f aca="false">'ROI Calculation'!D6</f>
        <v>60000</v>
      </c>
      <c r="C6" s="22" t="n">
        <f aca="false">'ROI Calculation'!E6</f>
        <v>0</v>
      </c>
    </row>
    <row r="7" customFormat="false" ht="15" hidden="false" customHeight="false" outlineLevel="0" collapsed="false">
      <c r="A7" s="21" t="str">
        <f aca="false">'ROI Calculation'!A7</f>
        <v>Temporal (Cloud)</v>
      </c>
      <c r="B7" s="15" t="n">
        <f aca="false">'ROI Calculation'!D7</f>
        <v>62400</v>
      </c>
      <c r="C7" s="22" t="n">
        <f aca="false">'ROI Calculation'!E7</f>
        <v>2400</v>
      </c>
    </row>
    <row r="8" customFormat="false" ht="15" hidden="false" customHeight="false" outlineLevel="0" collapsed="false">
      <c r="A8" s="21" t="str">
        <f aca="false">'ROI Calculation'!A8</f>
        <v>Airbyte (self-hosted)</v>
      </c>
      <c r="B8" s="15" t="n">
        <f aca="false">'ROI Calculation'!D8</f>
        <v>133200</v>
      </c>
      <c r="C8" s="22" t="n">
        <f aca="false">'ROI Calculation'!E8</f>
        <v>73200</v>
      </c>
    </row>
    <row r="9" customFormat="false" ht="15" hidden="false" customHeight="false" outlineLevel="0" collapsed="false">
      <c r="A9" s="21" t="str">
        <f aca="false">'ROI Calculation'!A9</f>
        <v>Workato</v>
      </c>
      <c r="B9" s="15" t="n">
        <f aca="false">'ROI Calculation'!D9</f>
        <v>100000</v>
      </c>
      <c r="C9" s="22" t="n">
        <f aca="false">'ROI Calculation'!E9</f>
        <v>40000</v>
      </c>
    </row>
    <row r="10" customFormat="false" ht="15" hidden="false" customHeight="false" outlineLevel="0" collapsed="false">
      <c r="A10" s="21" t="str">
        <f aca="false">'ROI Calculation'!A10</f>
        <v>Boomi</v>
      </c>
      <c r="B10" s="15" t="n">
        <f aca="false">'ROI Calculation'!D10</f>
        <v>100000</v>
      </c>
      <c r="C10" s="22" t="n">
        <f aca="false">'ROI Calculation'!E10</f>
        <v>40000</v>
      </c>
    </row>
    <row r="11" customFormat="false" ht="15" hidden="false" customHeight="false" outlineLevel="0" collapsed="false">
      <c r="A11" s="21" t="str">
        <f aca="false">'ROI Calculation'!A11</f>
        <v>Celigo</v>
      </c>
      <c r="B11" s="15" t="n">
        <f aca="false">'ROI Calculation'!D11</f>
        <v>132000</v>
      </c>
      <c r="C11" s="22" t="n">
        <f aca="false">'ROI Calculation'!E11</f>
        <v>72000</v>
      </c>
    </row>
  </sheetData>
  <mergeCells count="2">
    <mergeCell ref="A1:C1"/>
    <mergeCell ref="A2:C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LibreOffice/26.2.4.2$Linux_X86_64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2026-08-13T05:28:39Z</dcterms:created>
  <dc:creator>openpyxl</dc:creator>
  <dc:description/>
  <dc:language>en-US</dc:language>
  <cp:lastModifiedBy/>
  <dcterms:modified xsi:type="dcterms:W3CDTF">2026-08-13T11:08:49Z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